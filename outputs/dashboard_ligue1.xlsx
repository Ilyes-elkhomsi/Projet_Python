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hidden" r:id="rId2"/>
    <sheet name="Analyse_avanc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color rgb="00666666"/>
      <sz val="11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Points par équipe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'Dashboard'!B45</f>
            </strRef>
          </tx>
          <spPr>
            <a:ln>
              <a:prstDash val="solid"/>
            </a:ln>
          </spPr>
          <cat>
            <numRef>
              <f>'Dashboard'!$A$46:$A$63</f>
            </numRef>
          </cat>
          <val>
            <numRef>
              <f>'Dashboard'!$B$46:$B$63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par équipe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Buts marqués par équipe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'Dashboard'!C45</f>
            </strRef>
          </tx>
          <spPr>
            <a:ln>
              <a:prstDash val="solid"/>
            </a:ln>
          </spPr>
          <cat>
            <numRef>
              <f>'Dashboard'!$A$46:$A$63</f>
            </numRef>
          </cat>
          <val>
            <numRef>
              <f>'Dashboard'!$C$46:$C$63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Buts marqués par équipe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Clean sheets par équipe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'Dashboard'!D45</f>
            </strRef>
          </tx>
          <spPr>
            <a:ln>
              <a:prstDash val="solid"/>
            </a:ln>
          </spPr>
          <cat>
            <numRef>
              <f>'Dashboard'!$A$46:$A$63</f>
            </numRef>
          </cat>
          <val>
            <numRef>
              <f>'Dashboard'!$D$46:$D$63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Clean sheets par équipe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xG par équipe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'Dashboard'!E45</f>
            </strRef>
          </tx>
          <spPr>
            <a:ln>
              <a:prstDash val="solid"/>
            </a:ln>
          </spPr>
          <cat>
            <numRef>
              <f>'Dashboard'!$A$46:$A$63</f>
            </numRef>
          </cat>
          <val>
            <numRef>
              <f>'Dashboard'!$E$46:$E$63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xG par équipe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Efficacité offensive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'Analyse_avancee'!B5</f>
            </strRef>
          </tx>
          <spPr>
            <a:ln>
              <a:prstDash val="solid"/>
            </a:ln>
          </spPr>
          <cat>
            <numRef>
              <f>'Analyse_avancee'!$A$6:$A$23</f>
            </numRef>
          </cat>
          <val>
            <numRef>
              <f>'Analyse_avancee'!$B$6:$B$23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Efficacité offensive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Buts encaissés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'Analyse_avancee'!F5</f>
            </strRef>
          </tx>
          <spPr>
            <a:ln>
              <a:prstDash val="solid"/>
            </a:ln>
          </spPr>
          <cat>
            <numRef>
              <f>'Analyse_avancee'!$E$6:$E$23</f>
            </numRef>
          </cat>
          <val>
            <numRef>
              <f>'Analyse_avancee'!$F$6:$F$23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Buts encaissés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Indice discipline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'Analyse_avancee'!B25</f>
            </strRef>
          </tx>
          <spPr>
            <a:ln>
              <a:prstDash val="solid"/>
            </a:ln>
          </spPr>
          <cat>
            <numRef>
              <f>'Analyse_avancee'!$A$26:$A$43</f>
            </numRef>
          </cat>
          <val>
            <numRef>
              <f>'Analyse_avancee'!$B$26:$B$43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Indice 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Points domicile vs extérieur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'Analyse_avancee'!F25</f>
            </strRef>
          </tx>
          <spPr>
            <a:ln>
              <a:prstDash val="solid"/>
            </a:ln>
          </spPr>
          <cat>
            <numRef>
              <f>'Analyse_avancee'!$E$26:$E$43</f>
            </numRef>
          </cat>
          <val>
            <numRef>
              <f>'Analyse_avancee'!$F$26:$F$43</f>
            </numRef>
          </val>
        </ser>
        <ser>
          <idx val="1"/>
          <order val="1"/>
          <tx>
            <strRef>
              <f>'Analyse_avancee'!G25</f>
            </strRef>
          </tx>
          <spPr>
            <a:ln>
              <a:prstDash val="solid"/>
            </a:ln>
          </spPr>
          <cat>
            <numRef>
              <f>'Analyse_avancee'!$E$26:$E$43</f>
            </numRef>
          </cat>
          <val>
            <numRef>
              <f>'Analyse_avancee'!$G$26:$G$43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Équipes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27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7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27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Dashboard Ligue 1 - Analyse des facteurs de performance</t>
        </is>
      </c>
    </row>
    <row r="2">
      <c r="A2" s="2" t="inlineStr">
        <is>
          <t>Filtre interactif par catégorie d'équipe : Toutes, Top 5, Milieu ou Bas de tableau</t>
        </is>
      </c>
    </row>
    <row r="4">
      <c r="A4" s="3" t="inlineStr">
        <is>
          <t>Catégorie sélectionnée</t>
        </is>
      </c>
      <c r="B4" s="4" t="inlineStr">
        <is>
          <t>Toutes</t>
        </is>
      </c>
    </row>
    <row r="6">
      <c r="A6" s="5" t="inlineStr">
        <is>
          <t>Meilleure équipe</t>
        </is>
      </c>
      <c r="D6" s="5" t="inlineStr">
        <is>
          <t>Meilleure attaque</t>
        </is>
      </c>
      <c r="G6" s="5" t="inlineStr">
        <is>
          <t>Meilleure défense</t>
        </is>
      </c>
      <c r="J6" s="5" t="inlineStr">
        <is>
          <t>Meilleur buteur</t>
        </is>
      </c>
    </row>
    <row r="7">
      <c r="A7" s="6">
        <f>IFERROR(INDEX($A$46:$A$63,MATCH(MAX($B$46:$B$63),$B$46:$B$63,0)),"-")</f>
        <v/>
      </c>
      <c r="D7" s="6">
        <f>IFERROR(INDEX($A$46:$A$63,MATCH(MAX($C$46:$C$63),$C$46:$C$63,0)),"-")</f>
        <v/>
      </c>
      <c r="G7" s="6">
        <f>IFERROR(INDEX($A$46:$A$63,MATCH(MIN($F$46:$F$63),$F$46:$F$63,0)),"-")</f>
        <v/>
      </c>
      <c r="J7" s="6">
        <f>IFERROR(INDEX($G$46:$G$63,MATCH(MAX($H$46:$H$63),$H$46:$H$63,0)),"-")</f>
        <v/>
      </c>
    </row>
    <row r="45">
      <c r="A45" s="7" t="inlineStr">
        <is>
          <t>Equipe</t>
        </is>
      </c>
      <c r="B45" s="7" t="inlineStr">
        <is>
          <t>Points</t>
        </is>
      </c>
      <c r="C45" s="7" t="inlineStr">
        <is>
          <t>Buts marques</t>
        </is>
      </c>
      <c r="D45" s="7" t="inlineStr">
        <is>
          <t>Clean sheets</t>
        </is>
      </c>
      <c r="E45" s="7" t="inlineStr">
        <is>
          <t>xG</t>
        </is>
      </c>
      <c r="F45" s="7" t="inlineStr">
        <is>
          <t>Buts encaisses</t>
        </is>
      </c>
      <c r="G45" s="7" t="inlineStr">
        <is>
          <t>Meilleur buteur</t>
        </is>
      </c>
      <c r="H45" s="7" t="inlineStr">
        <is>
          <t>Buts meilleur buteur</t>
        </is>
      </c>
    </row>
    <row r="46">
      <c r="A46">
        <f>IF(OR($B$4="Toutes",Data!AE2=$B$4),Data!A2,"")</f>
        <v/>
      </c>
      <c r="B46">
        <f>IF(OR($B$4="Toutes",Data!AE2=$B$4),Data!D2,"")</f>
        <v/>
      </c>
      <c r="C46">
        <f>IF(OR($B$4="Toutes",Data!AE2=$B$4),Data!H2,"")</f>
        <v/>
      </c>
      <c r="D46">
        <f>IF(OR($B$4="Toutes",Data!AE2=$B$4),Data!Q2,"")</f>
        <v/>
      </c>
      <c r="E46">
        <f>IF(OR($B$4="Toutes",Data!AE2=$B$4),Data!T2,NA())</f>
        <v/>
      </c>
      <c r="F46">
        <f>IF(OR($B$4="Toutes",Data!AE2=$B$4),Data!I2,999)</f>
        <v/>
      </c>
      <c r="G46">
        <f>IF(OR($B$4="Toutes",Data!AE2=$B$4),Data!X2,"")</f>
        <v/>
      </c>
      <c r="H46">
        <f>IF(OR($B$4="Toutes",Data!AE2=$B$4),Data!Y2,0)</f>
        <v/>
      </c>
    </row>
    <row r="47">
      <c r="A47">
        <f>IF(OR($B$4="Toutes",Data!AE3=$B$4),Data!A3,"")</f>
        <v/>
      </c>
      <c r="B47">
        <f>IF(OR($B$4="Toutes",Data!AE3=$B$4),Data!D3,"")</f>
        <v/>
      </c>
      <c r="C47">
        <f>IF(OR($B$4="Toutes",Data!AE3=$B$4),Data!H3,"")</f>
        <v/>
      </c>
      <c r="D47">
        <f>IF(OR($B$4="Toutes",Data!AE3=$B$4),Data!Q3,"")</f>
        <v/>
      </c>
      <c r="E47">
        <f>IF(OR($B$4="Toutes",Data!AE3=$B$4),Data!T3,NA())</f>
        <v/>
      </c>
      <c r="F47">
        <f>IF(OR($B$4="Toutes",Data!AE3=$B$4),Data!I3,999)</f>
        <v/>
      </c>
      <c r="G47">
        <f>IF(OR($B$4="Toutes",Data!AE3=$B$4),Data!X3,"")</f>
        <v/>
      </c>
      <c r="H47">
        <f>IF(OR($B$4="Toutes",Data!AE3=$B$4),Data!Y3,0)</f>
        <v/>
      </c>
    </row>
    <row r="48">
      <c r="A48">
        <f>IF(OR($B$4="Toutes",Data!AE4=$B$4),Data!A4,"")</f>
        <v/>
      </c>
      <c r="B48">
        <f>IF(OR($B$4="Toutes",Data!AE4=$B$4),Data!D4,"")</f>
        <v/>
      </c>
      <c r="C48">
        <f>IF(OR($B$4="Toutes",Data!AE4=$B$4),Data!H4,"")</f>
        <v/>
      </c>
      <c r="D48">
        <f>IF(OR($B$4="Toutes",Data!AE4=$B$4),Data!Q4,"")</f>
        <v/>
      </c>
      <c r="E48">
        <f>IF(OR($B$4="Toutes",Data!AE4=$B$4),Data!T4,NA())</f>
        <v/>
      </c>
      <c r="F48">
        <f>IF(OR($B$4="Toutes",Data!AE4=$B$4),Data!I4,999)</f>
        <v/>
      </c>
      <c r="G48">
        <f>IF(OR($B$4="Toutes",Data!AE4=$B$4),Data!X4,"")</f>
        <v/>
      </c>
      <c r="H48">
        <f>IF(OR($B$4="Toutes",Data!AE4=$B$4),Data!Y4,0)</f>
        <v/>
      </c>
    </row>
    <row r="49">
      <c r="A49">
        <f>IF(OR($B$4="Toutes",Data!AE5=$B$4),Data!A5,"")</f>
        <v/>
      </c>
      <c r="B49">
        <f>IF(OR($B$4="Toutes",Data!AE5=$B$4),Data!D5,"")</f>
        <v/>
      </c>
      <c r="C49">
        <f>IF(OR($B$4="Toutes",Data!AE5=$B$4),Data!H5,"")</f>
        <v/>
      </c>
      <c r="D49">
        <f>IF(OR($B$4="Toutes",Data!AE5=$B$4),Data!Q5,"")</f>
        <v/>
      </c>
      <c r="E49">
        <f>IF(OR($B$4="Toutes",Data!AE5=$B$4),Data!T5,NA())</f>
        <v/>
      </c>
      <c r="F49">
        <f>IF(OR($B$4="Toutes",Data!AE5=$B$4),Data!I5,999)</f>
        <v/>
      </c>
      <c r="G49">
        <f>IF(OR($B$4="Toutes",Data!AE5=$B$4),Data!X5,"")</f>
        <v/>
      </c>
      <c r="H49">
        <f>IF(OR($B$4="Toutes",Data!AE5=$B$4),Data!Y5,0)</f>
        <v/>
      </c>
    </row>
    <row r="50">
      <c r="A50">
        <f>IF(OR($B$4="Toutes",Data!AE6=$B$4),Data!A6,"")</f>
        <v/>
      </c>
      <c r="B50">
        <f>IF(OR($B$4="Toutes",Data!AE6=$B$4),Data!D6,"")</f>
        <v/>
      </c>
      <c r="C50">
        <f>IF(OR($B$4="Toutes",Data!AE6=$B$4),Data!H6,"")</f>
        <v/>
      </c>
      <c r="D50">
        <f>IF(OR($B$4="Toutes",Data!AE6=$B$4),Data!Q6,"")</f>
        <v/>
      </c>
      <c r="E50">
        <f>IF(OR($B$4="Toutes",Data!AE6=$B$4),Data!T6,NA())</f>
        <v/>
      </c>
      <c r="F50">
        <f>IF(OR($B$4="Toutes",Data!AE6=$B$4),Data!I6,999)</f>
        <v/>
      </c>
      <c r="G50">
        <f>IF(OR($B$4="Toutes",Data!AE6=$B$4),Data!X6,"")</f>
        <v/>
      </c>
      <c r="H50">
        <f>IF(OR($B$4="Toutes",Data!AE6=$B$4),Data!Y6,0)</f>
        <v/>
      </c>
    </row>
    <row r="51">
      <c r="A51">
        <f>IF(OR($B$4="Toutes",Data!AE7=$B$4),Data!A7,"")</f>
        <v/>
      </c>
      <c r="B51">
        <f>IF(OR($B$4="Toutes",Data!AE7=$B$4),Data!D7,"")</f>
        <v/>
      </c>
      <c r="C51">
        <f>IF(OR($B$4="Toutes",Data!AE7=$B$4),Data!H7,"")</f>
        <v/>
      </c>
      <c r="D51">
        <f>IF(OR($B$4="Toutes",Data!AE7=$B$4),Data!Q7,"")</f>
        <v/>
      </c>
      <c r="E51">
        <f>IF(OR($B$4="Toutes",Data!AE7=$B$4),Data!T7,NA())</f>
        <v/>
      </c>
      <c r="F51">
        <f>IF(OR($B$4="Toutes",Data!AE7=$B$4),Data!I7,999)</f>
        <v/>
      </c>
      <c r="G51">
        <f>IF(OR($B$4="Toutes",Data!AE7=$B$4),Data!X7,"")</f>
        <v/>
      </c>
      <c r="H51">
        <f>IF(OR($B$4="Toutes",Data!AE7=$B$4),Data!Y7,0)</f>
        <v/>
      </c>
    </row>
    <row r="52">
      <c r="A52">
        <f>IF(OR($B$4="Toutes",Data!AE8=$B$4),Data!A8,"")</f>
        <v/>
      </c>
      <c r="B52">
        <f>IF(OR($B$4="Toutes",Data!AE8=$B$4),Data!D8,"")</f>
        <v/>
      </c>
      <c r="C52">
        <f>IF(OR($B$4="Toutes",Data!AE8=$B$4),Data!H8,"")</f>
        <v/>
      </c>
      <c r="D52">
        <f>IF(OR($B$4="Toutes",Data!AE8=$B$4),Data!Q8,"")</f>
        <v/>
      </c>
      <c r="E52">
        <f>IF(OR($B$4="Toutes",Data!AE8=$B$4),Data!T8,NA())</f>
        <v/>
      </c>
      <c r="F52">
        <f>IF(OR($B$4="Toutes",Data!AE8=$B$4),Data!I8,999)</f>
        <v/>
      </c>
      <c r="G52">
        <f>IF(OR($B$4="Toutes",Data!AE8=$B$4),Data!X8,"")</f>
        <v/>
      </c>
      <c r="H52">
        <f>IF(OR($B$4="Toutes",Data!AE8=$B$4),Data!Y8,0)</f>
        <v/>
      </c>
    </row>
    <row r="53">
      <c r="A53">
        <f>IF(OR($B$4="Toutes",Data!AE9=$B$4),Data!A9,"")</f>
        <v/>
      </c>
      <c r="B53">
        <f>IF(OR($B$4="Toutes",Data!AE9=$B$4),Data!D9,"")</f>
        <v/>
      </c>
      <c r="C53">
        <f>IF(OR($B$4="Toutes",Data!AE9=$B$4),Data!H9,"")</f>
        <v/>
      </c>
      <c r="D53">
        <f>IF(OR($B$4="Toutes",Data!AE9=$B$4),Data!Q9,"")</f>
        <v/>
      </c>
      <c r="E53">
        <f>IF(OR($B$4="Toutes",Data!AE9=$B$4),Data!T9,NA())</f>
        <v/>
      </c>
      <c r="F53">
        <f>IF(OR($B$4="Toutes",Data!AE9=$B$4),Data!I9,999)</f>
        <v/>
      </c>
      <c r="G53">
        <f>IF(OR($B$4="Toutes",Data!AE9=$B$4),Data!X9,"")</f>
        <v/>
      </c>
      <c r="H53">
        <f>IF(OR($B$4="Toutes",Data!AE9=$B$4),Data!Y9,0)</f>
        <v/>
      </c>
    </row>
    <row r="54">
      <c r="A54">
        <f>IF(OR($B$4="Toutes",Data!AE10=$B$4),Data!A10,"")</f>
        <v/>
      </c>
      <c r="B54">
        <f>IF(OR($B$4="Toutes",Data!AE10=$B$4),Data!D10,"")</f>
        <v/>
      </c>
      <c r="C54">
        <f>IF(OR($B$4="Toutes",Data!AE10=$B$4),Data!H10,"")</f>
        <v/>
      </c>
      <c r="D54">
        <f>IF(OR($B$4="Toutes",Data!AE10=$B$4),Data!Q10,"")</f>
        <v/>
      </c>
      <c r="E54">
        <f>IF(OR($B$4="Toutes",Data!AE10=$B$4),Data!T10,NA())</f>
        <v/>
      </c>
      <c r="F54">
        <f>IF(OR($B$4="Toutes",Data!AE10=$B$4),Data!I10,999)</f>
        <v/>
      </c>
      <c r="G54">
        <f>IF(OR($B$4="Toutes",Data!AE10=$B$4),Data!X10,"")</f>
        <v/>
      </c>
      <c r="H54">
        <f>IF(OR($B$4="Toutes",Data!AE10=$B$4),Data!Y10,0)</f>
        <v/>
      </c>
    </row>
    <row r="55">
      <c r="A55">
        <f>IF(OR($B$4="Toutes",Data!AE11=$B$4),Data!A11,"")</f>
        <v/>
      </c>
      <c r="B55">
        <f>IF(OR($B$4="Toutes",Data!AE11=$B$4),Data!D11,"")</f>
        <v/>
      </c>
      <c r="C55">
        <f>IF(OR($B$4="Toutes",Data!AE11=$B$4),Data!H11,"")</f>
        <v/>
      </c>
      <c r="D55">
        <f>IF(OR($B$4="Toutes",Data!AE11=$B$4),Data!Q11,"")</f>
        <v/>
      </c>
      <c r="E55">
        <f>IF(OR($B$4="Toutes",Data!AE11=$B$4),Data!T11,NA())</f>
        <v/>
      </c>
      <c r="F55">
        <f>IF(OR($B$4="Toutes",Data!AE11=$B$4),Data!I11,999)</f>
        <v/>
      </c>
      <c r="G55">
        <f>IF(OR($B$4="Toutes",Data!AE11=$B$4),Data!X11,"")</f>
        <v/>
      </c>
      <c r="H55">
        <f>IF(OR($B$4="Toutes",Data!AE11=$B$4),Data!Y11,0)</f>
        <v/>
      </c>
    </row>
    <row r="56">
      <c r="A56">
        <f>IF(OR($B$4="Toutes",Data!AE12=$B$4),Data!A12,"")</f>
        <v/>
      </c>
      <c r="B56">
        <f>IF(OR($B$4="Toutes",Data!AE12=$B$4),Data!D12,"")</f>
        <v/>
      </c>
      <c r="C56">
        <f>IF(OR($B$4="Toutes",Data!AE12=$B$4),Data!H12,"")</f>
        <v/>
      </c>
      <c r="D56">
        <f>IF(OR($B$4="Toutes",Data!AE12=$B$4),Data!Q12,"")</f>
        <v/>
      </c>
      <c r="E56">
        <f>IF(OR($B$4="Toutes",Data!AE12=$B$4),Data!T12,NA())</f>
        <v/>
      </c>
      <c r="F56">
        <f>IF(OR($B$4="Toutes",Data!AE12=$B$4),Data!I12,999)</f>
        <v/>
      </c>
      <c r="G56">
        <f>IF(OR($B$4="Toutes",Data!AE12=$B$4),Data!X12,"")</f>
        <v/>
      </c>
      <c r="H56">
        <f>IF(OR($B$4="Toutes",Data!AE12=$B$4),Data!Y12,0)</f>
        <v/>
      </c>
    </row>
    <row r="57">
      <c r="A57">
        <f>IF(OR($B$4="Toutes",Data!AE13=$B$4),Data!A13,"")</f>
        <v/>
      </c>
      <c r="B57">
        <f>IF(OR($B$4="Toutes",Data!AE13=$B$4),Data!D13,"")</f>
        <v/>
      </c>
      <c r="C57">
        <f>IF(OR($B$4="Toutes",Data!AE13=$B$4),Data!H13,"")</f>
        <v/>
      </c>
      <c r="D57">
        <f>IF(OR($B$4="Toutes",Data!AE13=$B$4),Data!Q13,"")</f>
        <v/>
      </c>
      <c r="E57">
        <f>IF(OR($B$4="Toutes",Data!AE13=$B$4),Data!T13,NA())</f>
        <v/>
      </c>
      <c r="F57">
        <f>IF(OR($B$4="Toutes",Data!AE13=$B$4),Data!I13,999)</f>
        <v/>
      </c>
      <c r="G57">
        <f>IF(OR($B$4="Toutes",Data!AE13=$B$4),Data!X13,"")</f>
        <v/>
      </c>
      <c r="H57">
        <f>IF(OR($B$4="Toutes",Data!AE13=$B$4),Data!Y13,0)</f>
        <v/>
      </c>
    </row>
    <row r="58">
      <c r="A58">
        <f>IF(OR($B$4="Toutes",Data!AE14=$B$4),Data!A14,"")</f>
        <v/>
      </c>
      <c r="B58">
        <f>IF(OR($B$4="Toutes",Data!AE14=$B$4),Data!D14,"")</f>
        <v/>
      </c>
      <c r="C58">
        <f>IF(OR($B$4="Toutes",Data!AE14=$B$4),Data!H14,"")</f>
        <v/>
      </c>
      <c r="D58">
        <f>IF(OR($B$4="Toutes",Data!AE14=$B$4),Data!Q14,"")</f>
        <v/>
      </c>
      <c r="E58">
        <f>IF(OR($B$4="Toutes",Data!AE14=$B$4),Data!T14,NA())</f>
        <v/>
      </c>
      <c r="F58">
        <f>IF(OR($B$4="Toutes",Data!AE14=$B$4),Data!I14,999)</f>
        <v/>
      </c>
      <c r="G58">
        <f>IF(OR($B$4="Toutes",Data!AE14=$B$4),Data!X14,"")</f>
        <v/>
      </c>
      <c r="H58">
        <f>IF(OR($B$4="Toutes",Data!AE14=$B$4),Data!Y14,0)</f>
        <v/>
      </c>
    </row>
    <row r="59">
      <c r="A59">
        <f>IF(OR($B$4="Toutes",Data!AE15=$B$4),Data!A15,"")</f>
        <v/>
      </c>
      <c r="B59">
        <f>IF(OR($B$4="Toutes",Data!AE15=$B$4),Data!D15,"")</f>
        <v/>
      </c>
      <c r="C59">
        <f>IF(OR($B$4="Toutes",Data!AE15=$B$4),Data!H15,"")</f>
        <v/>
      </c>
      <c r="D59">
        <f>IF(OR($B$4="Toutes",Data!AE15=$B$4),Data!Q15,"")</f>
        <v/>
      </c>
      <c r="E59">
        <f>IF(OR($B$4="Toutes",Data!AE15=$B$4),Data!T15,NA())</f>
        <v/>
      </c>
      <c r="F59">
        <f>IF(OR($B$4="Toutes",Data!AE15=$B$4),Data!I15,999)</f>
        <v/>
      </c>
      <c r="G59">
        <f>IF(OR($B$4="Toutes",Data!AE15=$B$4),Data!X15,"")</f>
        <v/>
      </c>
      <c r="H59">
        <f>IF(OR($B$4="Toutes",Data!AE15=$B$4),Data!Y15,0)</f>
        <v/>
      </c>
    </row>
    <row r="60">
      <c r="A60">
        <f>IF(OR($B$4="Toutes",Data!AE16=$B$4),Data!A16,"")</f>
        <v/>
      </c>
      <c r="B60">
        <f>IF(OR($B$4="Toutes",Data!AE16=$B$4),Data!D16,"")</f>
        <v/>
      </c>
      <c r="C60">
        <f>IF(OR($B$4="Toutes",Data!AE16=$B$4),Data!H16,"")</f>
        <v/>
      </c>
      <c r="D60">
        <f>IF(OR($B$4="Toutes",Data!AE16=$B$4),Data!Q16,"")</f>
        <v/>
      </c>
      <c r="E60">
        <f>IF(OR($B$4="Toutes",Data!AE16=$B$4),Data!T16,NA())</f>
        <v/>
      </c>
      <c r="F60">
        <f>IF(OR($B$4="Toutes",Data!AE16=$B$4),Data!I16,999)</f>
        <v/>
      </c>
      <c r="G60">
        <f>IF(OR($B$4="Toutes",Data!AE16=$B$4),Data!X16,"")</f>
        <v/>
      </c>
      <c r="H60">
        <f>IF(OR($B$4="Toutes",Data!AE16=$B$4),Data!Y16,0)</f>
        <v/>
      </c>
    </row>
    <row r="61">
      <c r="A61">
        <f>IF(OR($B$4="Toutes",Data!AE17=$B$4),Data!A17,"")</f>
        <v/>
      </c>
      <c r="B61">
        <f>IF(OR($B$4="Toutes",Data!AE17=$B$4),Data!D17,"")</f>
        <v/>
      </c>
      <c r="C61">
        <f>IF(OR($B$4="Toutes",Data!AE17=$B$4),Data!H17,"")</f>
        <v/>
      </c>
      <c r="D61">
        <f>IF(OR($B$4="Toutes",Data!AE17=$B$4),Data!Q17,"")</f>
        <v/>
      </c>
      <c r="E61">
        <f>IF(OR($B$4="Toutes",Data!AE17=$B$4),Data!T17,NA())</f>
        <v/>
      </c>
      <c r="F61">
        <f>IF(OR($B$4="Toutes",Data!AE17=$B$4),Data!I17,999)</f>
        <v/>
      </c>
      <c r="G61">
        <f>IF(OR($B$4="Toutes",Data!AE17=$B$4),Data!X17,"")</f>
        <v/>
      </c>
      <c r="H61">
        <f>IF(OR($B$4="Toutes",Data!AE17=$B$4),Data!Y17,0)</f>
        <v/>
      </c>
    </row>
    <row r="62">
      <c r="A62">
        <f>IF(OR($B$4="Toutes",Data!AE18=$B$4),Data!A18,"")</f>
        <v/>
      </c>
      <c r="B62">
        <f>IF(OR($B$4="Toutes",Data!AE18=$B$4),Data!D18,"")</f>
        <v/>
      </c>
      <c r="C62">
        <f>IF(OR($B$4="Toutes",Data!AE18=$B$4),Data!H18,"")</f>
        <v/>
      </c>
      <c r="D62">
        <f>IF(OR($B$4="Toutes",Data!AE18=$B$4),Data!Q18,"")</f>
        <v/>
      </c>
      <c r="E62">
        <f>IF(OR($B$4="Toutes",Data!AE18=$B$4),Data!T18,NA())</f>
        <v/>
      </c>
      <c r="F62">
        <f>IF(OR($B$4="Toutes",Data!AE18=$B$4),Data!I18,999)</f>
        <v/>
      </c>
      <c r="G62">
        <f>IF(OR($B$4="Toutes",Data!AE18=$B$4),Data!X18,"")</f>
        <v/>
      </c>
      <c r="H62">
        <f>IF(OR($B$4="Toutes",Data!AE18=$B$4),Data!Y18,0)</f>
        <v/>
      </c>
    </row>
    <row r="63">
      <c r="A63">
        <f>IF(OR($B$4="Toutes",Data!AE19=$B$4),Data!A19,"")</f>
        <v/>
      </c>
      <c r="B63">
        <f>IF(OR($B$4="Toutes",Data!AE19=$B$4),Data!D19,"")</f>
        <v/>
      </c>
      <c r="C63">
        <f>IF(OR($B$4="Toutes",Data!AE19=$B$4),Data!H19,"")</f>
        <v/>
      </c>
      <c r="D63">
        <f>IF(OR($B$4="Toutes",Data!AE19=$B$4),Data!Q19,"")</f>
        <v/>
      </c>
      <c r="E63">
        <f>IF(OR($B$4="Toutes",Data!AE19=$B$4),Data!T19,NA())</f>
        <v/>
      </c>
      <c r="F63">
        <f>IF(OR($B$4="Toutes",Data!AE19=$B$4),Data!I19,999)</f>
        <v/>
      </c>
      <c r="G63">
        <f>IF(OR($B$4="Toutes",Data!AE19=$B$4),Data!X19,"")</f>
        <v/>
      </c>
      <c r="H63">
        <f>IF(OR($B$4="Toutes",Data!AE19=$B$4),Data!Y19,0)</f>
        <v/>
      </c>
    </row>
  </sheetData>
  <mergeCells count="10">
    <mergeCell ref="D6:E6"/>
    <mergeCell ref="A2:L2"/>
    <mergeCell ref="D7:E7"/>
    <mergeCell ref="A7:B7"/>
    <mergeCell ref="G7:H7"/>
    <mergeCell ref="J6:K6"/>
    <mergeCell ref="A1:L1"/>
    <mergeCell ref="J7:K7"/>
    <mergeCell ref="G6:H6"/>
    <mergeCell ref="A6:B6"/>
  </mergeCells>
  <dataValidations count="1">
    <dataValidation sqref="B4" showDropDown="0" showInputMessage="0" showErrorMessage="0" allowBlank="0" type="list">
      <formula1>"Toutes,Top 5,Milieu,Bas de tableau"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t="inlineStr">
        <is>
          <t>equipe</t>
        </is>
      </c>
      <c r="B1" t="inlineStr">
        <is>
          <t>rang</t>
        </is>
      </c>
      <c r="C1" t="inlineStr">
        <is>
          <t>journees</t>
        </is>
      </c>
      <c r="D1" t="inlineStr">
        <is>
          <t>points</t>
        </is>
      </c>
      <c r="E1" t="inlineStr">
        <is>
          <t>victoires</t>
        </is>
      </c>
      <c r="F1" t="inlineStr">
        <is>
          <t>nuls</t>
        </is>
      </c>
      <c r="G1" t="inlineStr">
        <is>
          <t>defaites</t>
        </is>
      </c>
      <c r="H1" t="inlineStr">
        <is>
          <t>buts_marques</t>
        </is>
      </c>
      <c r="I1" t="inlineStr">
        <is>
          <t>buts_encaisses</t>
        </is>
      </c>
      <c r="J1" t="inlineStr">
        <is>
          <t>difference_buts</t>
        </is>
      </c>
      <c r="K1" t="inlineStr">
        <is>
          <t>points_domicile</t>
        </is>
      </c>
      <c r="L1" t="inlineStr">
        <is>
          <t>points_exterieur</t>
        </is>
      </c>
      <c r="M1" t="inlineStr">
        <is>
          <t>victoires_domicile</t>
        </is>
      </c>
      <c r="N1" t="inlineStr">
        <is>
          <t>victoires_exterieur</t>
        </is>
      </c>
      <c r="O1" t="inlineStr">
        <is>
          <t>buts_domicile</t>
        </is>
      </c>
      <c r="P1" t="inlineStr">
        <is>
          <t>buts_exterieur</t>
        </is>
      </c>
      <c r="Q1" t="inlineStr">
        <is>
          <t>clean_sheets</t>
        </is>
      </c>
      <c r="R1" t="inlineStr">
        <is>
          <t>possession_moyenne</t>
        </is>
      </c>
      <c r="S1" t="inlineStr">
        <is>
          <t>tirs_par_match</t>
        </is>
      </c>
      <c r="T1" t="inlineStr">
        <is>
          <t>xG</t>
        </is>
      </c>
      <c r="U1" t="inlineStr">
        <is>
          <t>xGA</t>
        </is>
      </c>
      <c r="V1" t="inlineStr">
        <is>
          <t>cartons_jaunes</t>
        </is>
      </c>
      <c r="W1" t="inlineStr">
        <is>
          <t>cartons_rouges</t>
        </is>
      </c>
      <c r="X1" t="inlineStr">
        <is>
          <t>meilleur_buteur</t>
        </is>
      </c>
      <c r="Y1" t="inlineStr">
        <is>
          <t>buts_meilleur_buteur</t>
        </is>
      </c>
      <c r="Z1" t="inlineStr">
        <is>
          <t>meilleur_passeur</t>
        </is>
      </c>
      <c r="AA1" t="inlineStr">
        <is>
          <t>passes_decisives</t>
        </is>
      </c>
      <c r="AB1" t="inlineStr">
        <is>
          <t>efficacite_offensive</t>
        </is>
      </c>
      <c r="AC1" t="inlineStr">
        <is>
          <t>solidite_defensive</t>
        </is>
      </c>
      <c r="AD1" t="inlineStr">
        <is>
          <t>indice_discipline</t>
        </is>
      </c>
      <c r="AE1" t="inlineStr">
        <is>
          <t>categorie_equipe</t>
        </is>
      </c>
    </row>
    <row r="2">
      <c r="A2" t="inlineStr">
        <is>
          <t>PSG</t>
        </is>
      </c>
      <c r="B2" t="n">
        <v>1</v>
      </c>
      <c r="C2" t="n">
        <v>34</v>
      </c>
      <c r="D2" t="n">
        <v>82</v>
      </c>
      <c r="E2" t="n">
        <v>25</v>
      </c>
      <c r="F2" t="n">
        <v>7</v>
      </c>
      <c r="G2" t="n">
        <v>2</v>
      </c>
      <c r="H2" t="n">
        <v>85</v>
      </c>
      <c r="I2" t="n">
        <v>28</v>
      </c>
      <c r="J2" t="n">
        <v>57</v>
      </c>
      <c r="K2" t="n">
        <v>43</v>
      </c>
      <c r="L2" t="n">
        <v>39</v>
      </c>
      <c r="M2" t="n">
        <v>13</v>
      </c>
      <c r="N2" t="n">
        <v>12</v>
      </c>
      <c r="O2" t="n">
        <v>48</v>
      </c>
      <c r="P2" t="n">
        <v>37</v>
      </c>
      <c r="Q2" t="n">
        <v>16</v>
      </c>
      <c r="R2" t="n">
        <v>63.5</v>
      </c>
      <c r="S2" t="n">
        <v>17.2</v>
      </c>
      <c r="T2" t="n">
        <v>78.40000000000001</v>
      </c>
      <c r="U2" t="n">
        <v>29.1</v>
      </c>
      <c r="V2" t="n">
        <v>58</v>
      </c>
      <c r="W2" t="n">
        <v>2</v>
      </c>
      <c r="X2" t="inlineStr">
        <is>
          <t>Ousmane Dembele</t>
        </is>
      </c>
      <c r="Y2" t="n">
        <v>24</v>
      </c>
      <c r="Z2" t="inlineStr">
        <is>
          <t>Vitinha</t>
        </is>
      </c>
      <c r="AA2" t="n">
        <v>13</v>
      </c>
      <c r="AB2" t="n">
        <v>1.08</v>
      </c>
      <c r="AC2" t="n">
        <v>0.47</v>
      </c>
      <c r="AD2" t="n">
        <v>64</v>
      </c>
      <c r="AE2" t="inlineStr">
        <is>
          <t>Top 5</t>
        </is>
      </c>
    </row>
    <row r="3">
      <c r="A3" t="inlineStr">
        <is>
          <t>Marseille</t>
        </is>
      </c>
      <c r="B3" t="n">
        <v>2</v>
      </c>
      <c r="C3" t="n">
        <v>34</v>
      </c>
      <c r="D3" t="n">
        <v>71</v>
      </c>
      <c r="E3" t="n">
        <v>21</v>
      </c>
      <c r="F3" t="n">
        <v>8</v>
      </c>
      <c r="G3" t="n">
        <v>5</v>
      </c>
      <c r="H3" t="n">
        <v>68</v>
      </c>
      <c r="I3" t="n">
        <v>35</v>
      </c>
      <c r="J3" t="n">
        <v>33</v>
      </c>
      <c r="K3" t="n">
        <v>32</v>
      </c>
      <c r="L3" t="n">
        <v>39</v>
      </c>
      <c r="M3" t="n">
        <v>9</v>
      </c>
      <c r="N3" t="n">
        <v>12</v>
      </c>
      <c r="O3" t="n">
        <v>29</v>
      </c>
      <c r="P3" t="n">
        <v>39</v>
      </c>
      <c r="Q3" t="n">
        <v>12</v>
      </c>
      <c r="R3" t="n">
        <v>57.8</v>
      </c>
      <c r="S3" t="n">
        <v>15.1</v>
      </c>
      <c r="T3" t="n">
        <v>63.7</v>
      </c>
      <c r="U3" t="n">
        <v>36.8</v>
      </c>
      <c r="V3" t="n">
        <v>64</v>
      </c>
      <c r="W3" t="n">
        <v>3</v>
      </c>
      <c r="X3" t="inlineStr">
        <is>
          <t>Mason Greenwood</t>
        </is>
      </c>
      <c r="Y3" t="n">
        <v>19</v>
      </c>
      <c r="Z3" t="inlineStr">
        <is>
          <t>Amine Harit</t>
        </is>
      </c>
      <c r="AA3" t="n">
        <v>11</v>
      </c>
      <c r="AB3" t="n">
        <v>1.07</v>
      </c>
      <c r="AC3" t="n">
        <v>0.35</v>
      </c>
      <c r="AD3" t="n">
        <v>73</v>
      </c>
      <c r="AE3" t="inlineStr">
        <is>
          <t>Top 5</t>
        </is>
      </c>
    </row>
    <row r="4">
      <c r="A4" t="inlineStr">
        <is>
          <t>Monaco</t>
        </is>
      </c>
      <c r="B4" t="n">
        <v>3</v>
      </c>
      <c r="C4" t="n">
        <v>34</v>
      </c>
      <c r="D4" t="n">
        <v>68</v>
      </c>
      <c r="E4" t="n">
        <v>20</v>
      </c>
      <c r="F4" t="n">
        <v>8</v>
      </c>
      <c r="G4" t="n">
        <v>6</v>
      </c>
      <c r="H4" t="n">
        <v>72</v>
      </c>
      <c r="I4" t="n">
        <v>41</v>
      </c>
      <c r="J4" t="n">
        <v>31</v>
      </c>
      <c r="K4" t="n">
        <v>31</v>
      </c>
      <c r="L4" t="n">
        <v>37</v>
      </c>
      <c r="M4" t="n">
        <v>9</v>
      </c>
      <c r="N4" t="n">
        <v>11</v>
      </c>
      <c r="O4" t="n">
        <v>32</v>
      </c>
      <c r="P4" t="n">
        <v>40</v>
      </c>
      <c r="Q4" t="n">
        <v>10</v>
      </c>
      <c r="R4" t="n">
        <v>58.4</v>
      </c>
      <c r="S4" t="n">
        <v>14.9</v>
      </c>
      <c r="T4" t="n">
        <v>65.2</v>
      </c>
      <c r="U4" t="n">
        <v>40.5</v>
      </c>
      <c r="V4" t="n">
        <v>61</v>
      </c>
      <c r="W4" t="n">
        <v>2</v>
      </c>
      <c r="X4" t="inlineStr">
        <is>
          <t>Folarin Balogun</t>
        </is>
      </c>
      <c r="Y4" t="n">
        <v>18</v>
      </c>
      <c r="Z4" t="inlineStr">
        <is>
          <t>Maghnes Akliouche</t>
        </is>
      </c>
      <c r="AA4" t="n">
        <v>12</v>
      </c>
      <c r="AB4" t="n">
        <v>1.1</v>
      </c>
      <c r="AC4" t="n">
        <v>0.29</v>
      </c>
      <c r="AD4" t="n">
        <v>67</v>
      </c>
      <c r="AE4" t="inlineStr">
        <is>
          <t>Top 5</t>
        </is>
      </c>
    </row>
    <row r="5">
      <c r="A5" t="inlineStr">
        <is>
          <t>Lille</t>
        </is>
      </c>
      <c r="B5" t="n">
        <v>4</v>
      </c>
      <c r="C5" t="n">
        <v>34</v>
      </c>
      <c r="D5" t="n">
        <v>63</v>
      </c>
      <c r="E5" t="n">
        <v>18</v>
      </c>
      <c r="F5" t="n">
        <v>9</v>
      </c>
      <c r="G5" t="n">
        <v>7</v>
      </c>
      <c r="H5" t="n">
        <v>58</v>
      </c>
      <c r="I5" t="n">
        <v>33</v>
      </c>
      <c r="J5" t="n">
        <v>25</v>
      </c>
      <c r="K5" t="n">
        <v>35</v>
      </c>
      <c r="L5" t="n">
        <v>28</v>
      </c>
      <c r="M5" t="n">
        <v>10</v>
      </c>
      <c r="N5" t="n">
        <v>8</v>
      </c>
      <c r="O5" t="n">
        <v>33</v>
      </c>
      <c r="P5" t="n">
        <v>25</v>
      </c>
      <c r="Q5" t="n">
        <v>13</v>
      </c>
      <c r="R5" t="n">
        <v>55.2</v>
      </c>
      <c r="S5" t="n">
        <v>13.8</v>
      </c>
      <c r="T5" t="n">
        <v>55.6</v>
      </c>
      <c r="U5" t="n">
        <v>34</v>
      </c>
      <c r="V5" t="n">
        <v>57</v>
      </c>
      <c r="W5" t="n">
        <v>1</v>
      </c>
      <c r="X5" t="inlineStr">
        <is>
          <t>Jonathan David</t>
        </is>
      </c>
      <c r="Y5" t="n">
        <v>20</v>
      </c>
      <c r="Z5" t="inlineStr">
        <is>
          <t>Angel Gomes</t>
        </is>
      </c>
      <c r="AA5" t="n">
        <v>10</v>
      </c>
      <c r="AB5" t="n">
        <v>1.04</v>
      </c>
      <c r="AC5" t="n">
        <v>0.38</v>
      </c>
      <c r="AD5" t="n">
        <v>60</v>
      </c>
      <c r="AE5" t="inlineStr">
        <is>
          <t>Top 5</t>
        </is>
      </c>
    </row>
    <row r="6">
      <c r="A6" t="inlineStr">
        <is>
          <t>Nice</t>
        </is>
      </c>
      <c r="B6" t="n">
        <v>5</v>
      </c>
      <c r="C6" t="n">
        <v>34</v>
      </c>
      <c r="D6" t="n">
        <v>60</v>
      </c>
      <c r="E6" t="n">
        <v>17</v>
      </c>
      <c r="F6" t="n">
        <v>9</v>
      </c>
      <c r="G6" t="n">
        <v>8</v>
      </c>
      <c r="H6" t="n">
        <v>52</v>
      </c>
      <c r="I6" t="n">
        <v>34</v>
      </c>
      <c r="J6" t="n">
        <v>18</v>
      </c>
      <c r="K6" t="n">
        <v>34</v>
      </c>
      <c r="L6" t="n">
        <v>26</v>
      </c>
      <c r="M6" t="n">
        <v>10</v>
      </c>
      <c r="N6" t="n">
        <v>7</v>
      </c>
      <c r="O6" t="n">
        <v>31</v>
      </c>
      <c r="P6" t="n">
        <v>21</v>
      </c>
      <c r="Q6" t="n">
        <v>14</v>
      </c>
      <c r="R6" t="n">
        <v>54.6</v>
      </c>
      <c r="S6" t="n">
        <v>12.7</v>
      </c>
      <c r="T6" t="n">
        <v>50.3</v>
      </c>
      <c r="U6" t="n">
        <v>35.7</v>
      </c>
      <c r="V6" t="n">
        <v>66</v>
      </c>
      <c r="W6" t="n">
        <v>2</v>
      </c>
      <c r="X6" t="inlineStr">
        <is>
          <t>Terem Moffi</t>
        </is>
      </c>
      <c r="Y6" t="n">
        <v>15</v>
      </c>
      <c r="Z6" t="inlineStr">
        <is>
          <t>Laborde</t>
        </is>
      </c>
      <c r="AA6" t="n">
        <v>8</v>
      </c>
      <c r="AB6" t="n">
        <v>1.03</v>
      </c>
      <c r="AC6" t="n">
        <v>0.41</v>
      </c>
      <c r="AD6" t="n">
        <v>72</v>
      </c>
      <c r="AE6" t="inlineStr">
        <is>
          <t>Top 5</t>
        </is>
      </c>
    </row>
    <row r="7">
      <c r="A7" t="inlineStr">
        <is>
          <t>Lyon</t>
        </is>
      </c>
      <c r="B7" t="n">
        <v>6</v>
      </c>
      <c r="C7" t="n">
        <v>34</v>
      </c>
      <c r="D7" t="n">
        <v>58</v>
      </c>
      <c r="E7" t="n">
        <v>17</v>
      </c>
      <c r="F7" t="n">
        <v>7</v>
      </c>
      <c r="G7" t="n">
        <v>10</v>
      </c>
      <c r="H7" t="n">
        <v>61</v>
      </c>
      <c r="I7" t="n">
        <v>46</v>
      </c>
      <c r="J7" t="n">
        <v>15</v>
      </c>
      <c r="K7" t="n">
        <v>26</v>
      </c>
      <c r="L7" t="n">
        <v>32</v>
      </c>
      <c r="M7" t="n">
        <v>8</v>
      </c>
      <c r="N7" t="n">
        <v>9</v>
      </c>
      <c r="O7" t="n">
        <v>26</v>
      </c>
      <c r="P7" t="n">
        <v>35</v>
      </c>
      <c r="Q7" t="n">
        <v>8</v>
      </c>
      <c r="R7" t="n">
        <v>56.1</v>
      </c>
      <c r="S7" t="n">
        <v>14.4</v>
      </c>
      <c r="T7" t="n">
        <v>57.8</v>
      </c>
      <c r="U7" t="n">
        <v>45.2</v>
      </c>
      <c r="V7" t="n">
        <v>70</v>
      </c>
      <c r="W7" t="n">
        <v>4</v>
      </c>
      <c r="X7" t="inlineStr">
        <is>
          <t>Lacazette</t>
        </is>
      </c>
      <c r="Y7" t="n">
        <v>17</v>
      </c>
      <c r="Z7" t="inlineStr">
        <is>
          <t>Cherki</t>
        </is>
      </c>
      <c r="AA7" t="n">
        <v>11</v>
      </c>
      <c r="AB7" t="n">
        <v>1.06</v>
      </c>
      <c r="AC7" t="n">
        <v>0.24</v>
      </c>
      <c r="AD7" t="n">
        <v>82</v>
      </c>
      <c r="AE7" t="inlineStr">
        <is>
          <t>Milieu</t>
        </is>
      </c>
    </row>
    <row r="8">
      <c r="A8" t="inlineStr">
        <is>
          <t>Lens</t>
        </is>
      </c>
      <c r="B8" t="n">
        <v>7</v>
      </c>
      <c r="C8" t="n">
        <v>34</v>
      </c>
      <c r="D8" t="n">
        <v>56</v>
      </c>
      <c r="E8" t="n">
        <v>16</v>
      </c>
      <c r="F8" t="n">
        <v>8</v>
      </c>
      <c r="G8" t="n">
        <v>10</v>
      </c>
      <c r="H8" t="n">
        <v>50</v>
      </c>
      <c r="I8" t="n">
        <v>38</v>
      </c>
      <c r="J8" t="n">
        <v>12</v>
      </c>
      <c r="K8" t="n">
        <v>31</v>
      </c>
      <c r="L8" t="n">
        <v>25</v>
      </c>
      <c r="M8" t="n">
        <v>9</v>
      </c>
      <c r="N8" t="n">
        <v>7</v>
      </c>
      <c r="O8" t="n">
        <v>29</v>
      </c>
      <c r="P8" t="n">
        <v>21</v>
      </c>
      <c r="Q8" t="n">
        <v>11</v>
      </c>
      <c r="R8" t="n">
        <v>53.7</v>
      </c>
      <c r="S8" t="n">
        <v>13.5</v>
      </c>
      <c r="T8" t="n">
        <v>51</v>
      </c>
      <c r="U8" t="n">
        <v>39.4</v>
      </c>
      <c r="V8" t="n">
        <v>68</v>
      </c>
      <c r="W8" t="n">
        <v>3</v>
      </c>
      <c r="X8" t="inlineStr">
        <is>
          <t>Wesley Said</t>
        </is>
      </c>
      <c r="Y8" t="n">
        <v>13</v>
      </c>
      <c r="Z8" t="inlineStr">
        <is>
          <t>Thomasson</t>
        </is>
      </c>
      <c r="AA8" t="n">
        <v>8</v>
      </c>
      <c r="AB8" t="n">
        <v>0.98</v>
      </c>
      <c r="AC8" t="n">
        <v>0.32</v>
      </c>
      <c r="AD8" t="n">
        <v>77</v>
      </c>
      <c r="AE8" t="inlineStr">
        <is>
          <t>Milieu</t>
        </is>
      </c>
    </row>
    <row r="9">
      <c r="A9" t="inlineStr">
        <is>
          <t>Strasbourg</t>
        </is>
      </c>
      <c r="B9" t="n">
        <v>8</v>
      </c>
      <c r="C9" t="n">
        <v>34</v>
      </c>
      <c r="D9" t="n">
        <v>54</v>
      </c>
      <c r="E9" t="n">
        <v>15</v>
      </c>
      <c r="F9" t="n">
        <v>9</v>
      </c>
      <c r="G9" t="n">
        <v>10</v>
      </c>
      <c r="H9" t="n">
        <v>49</v>
      </c>
      <c r="I9" t="n">
        <v>42</v>
      </c>
      <c r="J9" t="n">
        <v>7</v>
      </c>
      <c r="K9" t="n">
        <v>30</v>
      </c>
      <c r="L9" t="n">
        <v>24</v>
      </c>
      <c r="M9" t="n">
        <v>9</v>
      </c>
      <c r="N9" t="n">
        <v>6</v>
      </c>
      <c r="O9" t="n">
        <v>27</v>
      </c>
      <c r="P9" t="n">
        <v>22</v>
      </c>
      <c r="Q9" t="n">
        <v>9</v>
      </c>
      <c r="R9" t="n">
        <v>51.8</v>
      </c>
      <c r="S9" t="n">
        <v>12.9</v>
      </c>
      <c r="T9" t="n">
        <v>48.9</v>
      </c>
      <c r="U9" t="n">
        <v>41.6</v>
      </c>
      <c r="V9" t="n">
        <v>72</v>
      </c>
      <c r="W9" t="n">
        <v>2</v>
      </c>
      <c r="X9" t="inlineStr">
        <is>
          <t>Emegha</t>
        </is>
      </c>
      <c r="Y9" t="n">
        <v>14</v>
      </c>
      <c r="Z9" t="inlineStr">
        <is>
          <t>Bakwa</t>
        </is>
      </c>
      <c r="AA9" t="n">
        <v>9</v>
      </c>
      <c r="AB9" t="n">
        <v>1</v>
      </c>
      <c r="AC9" t="n">
        <v>0.26</v>
      </c>
      <c r="AD9" t="n">
        <v>78</v>
      </c>
      <c r="AE9" t="inlineStr">
        <is>
          <t>Milieu</t>
        </is>
      </c>
    </row>
    <row r="10">
      <c r="A10" t="inlineStr">
        <is>
          <t>Brest</t>
        </is>
      </c>
      <c r="B10" t="n">
        <v>9</v>
      </c>
      <c r="C10" t="n">
        <v>34</v>
      </c>
      <c r="D10" t="n">
        <v>51</v>
      </c>
      <c r="E10" t="n">
        <v>14</v>
      </c>
      <c r="F10" t="n">
        <v>9</v>
      </c>
      <c r="G10" t="n">
        <v>11</v>
      </c>
      <c r="H10" t="n">
        <v>47</v>
      </c>
      <c r="I10" t="n">
        <v>43</v>
      </c>
      <c r="J10" t="n">
        <v>4</v>
      </c>
      <c r="K10" t="n">
        <v>22</v>
      </c>
      <c r="L10" t="n">
        <v>29</v>
      </c>
      <c r="M10" t="n">
        <v>6</v>
      </c>
      <c r="N10" t="n">
        <v>8</v>
      </c>
      <c r="O10" t="n">
        <v>22</v>
      </c>
      <c r="P10" t="n">
        <v>25</v>
      </c>
      <c r="Q10" t="n">
        <v>9</v>
      </c>
      <c r="R10" t="n">
        <v>49.3</v>
      </c>
      <c r="S10" t="n">
        <v>11.8</v>
      </c>
      <c r="T10" t="n">
        <v>45.7</v>
      </c>
      <c r="U10" t="n">
        <v>42.1</v>
      </c>
      <c r="V10" t="n">
        <v>65</v>
      </c>
      <c r="W10" t="n">
        <v>2</v>
      </c>
      <c r="X10" t="inlineStr">
        <is>
          <t>Ajorque</t>
        </is>
      </c>
      <c r="Y10" t="n">
        <v>12</v>
      </c>
      <c r="Z10" t="inlineStr">
        <is>
          <t>Del Castillo</t>
        </is>
      </c>
      <c r="AA10" t="n">
        <v>8</v>
      </c>
      <c r="AB10" t="n">
        <v>1.03</v>
      </c>
      <c r="AC10" t="n">
        <v>0.26</v>
      </c>
      <c r="AD10" t="n">
        <v>71</v>
      </c>
      <c r="AE10" t="inlineStr">
        <is>
          <t>Milieu</t>
        </is>
      </c>
    </row>
    <row r="11">
      <c r="A11" t="inlineStr">
        <is>
          <t>Rennes</t>
        </is>
      </c>
      <c r="B11" t="n">
        <v>10</v>
      </c>
      <c r="C11" t="n">
        <v>34</v>
      </c>
      <c r="D11" t="n">
        <v>49</v>
      </c>
      <c r="E11" t="n">
        <v>14</v>
      </c>
      <c r="F11" t="n">
        <v>7</v>
      </c>
      <c r="G11" t="n">
        <v>13</v>
      </c>
      <c r="H11" t="n">
        <v>55</v>
      </c>
      <c r="I11" t="n">
        <v>51</v>
      </c>
      <c r="J11" t="n">
        <v>4</v>
      </c>
      <c r="K11" t="n">
        <v>28</v>
      </c>
      <c r="L11" t="n">
        <v>21</v>
      </c>
      <c r="M11" t="n">
        <v>8</v>
      </c>
      <c r="N11" t="n">
        <v>6</v>
      </c>
      <c r="O11" t="n">
        <v>31</v>
      </c>
      <c r="P11" t="n">
        <v>24</v>
      </c>
      <c r="Q11" t="n">
        <v>7</v>
      </c>
      <c r="R11" t="n">
        <v>53.2</v>
      </c>
      <c r="S11" t="n">
        <v>13.6</v>
      </c>
      <c r="T11" t="n">
        <v>52.8</v>
      </c>
      <c r="U11" t="n">
        <v>49</v>
      </c>
      <c r="V11" t="n">
        <v>71</v>
      </c>
      <c r="W11" t="n">
        <v>3</v>
      </c>
      <c r="X11" t="inlineStr">
        <is>
          <t>Kalimuendo</t>
        </is>
      </c>
      <c r="Y11" t="n">
        <v>15</v>
      </c>
      <c r="Z11" t="inlineStr">
        <is>
          <t>Blas</t>
        </is>
      </c>
      <c r="AA11" t="n">
        <v>9</v>
      </c>
      <c r="AB11" t="n">
        <v>1.04</v>
      </c>
      <c r="AC11" t="n">
        <v>0.21</v>
      </c>
      <c r="AD11" t="n">
        <v>80</v>
      </c>
      <c r="AE11" t="inlineStr">
        <is>
          <t>Milieu</t>
        </is>
      </c>
    </row>
    <row r="12">
      <c r="A12" t="inlineStr">
        <is>
          <t>Toulouse</t>
        </is>
      </c>
      <c r="B12" t="n">
        <v>11</v>
      </c>
      <c r="C12" t="n">
        <v>34</v>
      </c>
      <c r="D12" t="n">
        <v>47</v>
      </c>
      <c r="E12" t="n">
        <v>13</v>
      </c>
      <c r="F12" t="n">
        <v>8</v>
      </c>
      <c r="G12" t="n">
        <v>13</v>
      </c>
      <c r="H12" t="n">
        <v>46</v>
      </c>
      <c r="I12" t="n">
        <v>48</v>
      </c>
      <c r="J12" t="n">
        <v>-2</v>
      </c>
      <c r="K12" t="n">
        <v>26</v>
      </c>
      <c r="L12" t="n">
        <v>21</v>
      </c>
      <c r="M12" t="n">
        <v>7</v>
      </c>
      <c r="N12" t="n">
        <v>6</v>
      </c>
      <c r="O12" t="n">
        <v>25</v>
      </c>
      <c r="P12" t="n">
        <v>21</v>
      </c>
      <c r="Q12" t="n">
        <v>8</v>
      </c>
      <c r="R12" t="n">
        <v>50.4</v>
      </c>
      <c r="S12" t="n">
        <v>12.2</v>
      </c>
      <c r="T12" t="n">
        <v>44.8</v>
      </c>
      <c r="U12" t="n">
        <v>47.9</v>
      </c>
      <c r="V12" t="n">
        <v>67</v>
      </c>
      <c r="W12" t="n">
        <v>2</v>
      </c>
      <c r="X12" t="inlineStr">
        <is>
          <t>Dallinga</t>
        </is>
      </c>
      <c r="Y12" t="n">
        <v>13</v>
      </c>
      <c r="Z12" t="inlineStr">
        <is>
          <t>Suazo</t>
        </is>
      </c>
      <c r="AA12" t="n">
        <v>7</v>
      </c>
      <c r="AB12" t="n">
        <v>1.03</v>
      </c>
      <c r="AC12" t="n">
        <v>0.24</v>
      </c>
      <c r="AD12" t="n">
        <v>73</v>
      </c>
      <c r="AE12" t="inlineStr">
        <is>
          <t>Milieu</t>
        </is>
      </c>
    </row>
    <row r="13">
      <c r="A13" t="inlineStr">
        <is>
          <t>Auxerre</t>
        </is>
      </c>
      <c r="B13" t="n">
        <v>12</v>
      </c>
      <c r="C13" t="n">
        <v>34</v>
      </c>
      <c r="D13" t="n">
        <v>45</v>
      </c>
      <c r="E13" t="n">
        <v>12</v>
      </c>
      <c r="F13" t="n">
        <v>9</v>
      </c>
      <c r="G13" t="n">
        <v>13</v>
      </c>
      <c r="H13" t="n">
        <v>42</v>
      </c>
      <c r="I13" t="n">
        <v>47</v>
      </c>
      <c r="J13" t="n">
        <v>-5</v>
      </c>
      <c r="K13" t="n">
        <v>25</v>
      </c>
      <c r="L13" t="n">
        <v>20</v>
      </c>
      <c r="M13" t="n">
        <v>7</v>
      </c>
      <c r="N13" t="n">
        <v>5</v>
      </c>
      <c r="O13" t="n">
        <v>24</v>
      </c>
      <c r="P13" t="n">
        <v>18</v>
      </c>
      <c r="Q13" t="n">
        <v>7</v>
      </c>
      <c r="R13" t="n">
        <v>47.9</v>
      </c>
      <c r="S13" t="n">
        <v>11.5</v>
      </c>
      <c r="T13" t="n">
        <v>41.6</v>
      </c>
      <c r="U13" t="n">
        <v>46.3</v>
      </c>
      <c r="V13" t="n">
        <v>73</v>
      </c>
      <c r="W13" t="n">
        <v>4</v>
      </c>
      <c r="X13" t="inlineStr">
        <is>
          <t>Perrin</t>
        </is>
      </c>
      <c r="Y13" t="n">
        <v>11</v>
      </c>
      <c r="Z13" t="inlineStr">
        <is>
          <t>Sinayoko</t>
        </is>
      </c>
      <c r="AA13" t="n">
        <v>7</v>
      </c>
      <c r="AB13" t="n">
        <v>1.01</v>
      </c>
      <c r="AC13" t="n">
        <v>0.21</v>
      </c>
      <c r="AD13" t="n">
        <v>85</v>
      </c>
      <c r="AE13" t="inlineStr">
        <is>
          <t>Milieu</t>
        </is>
      </c>
    </row>
    <row r="14">
      <c r="A14" t="inlineStr">
        <is>
          <t>Nantes</t>
        </is>
      </c>
      <c r="B14" t="n">
        <v>13</v>
      </c>
      <c r="C14" t="n">
        <v>34</v>
      </c>
      <c r="D14" t="n">
        <v>42</v>
      </c>
      <c r="E14" t="n">
        <v>11</v>
      </c>
      <c r="F14" t="n">
        <v>9</v>
      </c>
      <c r="G14" t="n">
        <v>14</v>
      </c>
      <c r="H14" t="n">
        <v>39</v>
      </c>
      <c r="I14" t="n">
        <v>50</v>
      </c>
      <c r="J14" t="n">
        <v>-11</v>
      </c>
      <c r="K14" t="n">
        <v>18</v>
      </c>
      <c r="L14" t="n">
        <v>24</v>
      </c>
      <c r="M14" t="n">
        <v>4</v>
      </c>
      <c r="N14" t="n">
        <v>7</v>
      </c>
      <c r="O14" t="n">
        <v>16</v>
      </c>
      <c r="P14" t="n">
        <v>23</v>
      </c>
      <c r="Q14" t="n">
        <v>6</v>
      </c>
      <c r="R14" t="n">
        <v>46.5</v>
      </c>
      <c r="S14" t="n">
        <v>10.8</v>
      </c>
      <c r="T14" t="n">
        <v>39.5</v>
      </c>
      <c r="U14" t="n">
        <v>50.7</v>
      </c>
      <c r="V14" t="n">
        <v>76</v>
      </c>
      <c r="W14" t="n">
        <v>3</v>
      </c>
      <c r="X14" t="inlineStr">
        <is>
          <t>Mostafa Mohamed</t>
        </is>
      </c>
      <c r="Y14" t="n">
        <v>10</v>
      </c>
      <c r="Z14" t="inlineStr">
        <is>
          <t>Simon</t>
        </is>
      </c>
      <c r="AA14" t="n">
        <v>8</v>
      </c>
      <c r="AB14" t="n">
        <v>0.99</v>
      </c>
      <c r="AC14" t="n">
        <v>0.18</v>
      </c>
      <c r="AD14" t="n">
        <v>85</v>
      </c>
      <c r="AE14" t="inlineStr">
        <is>
          <t>Bas de tableau</t>
        </is>
      </c>
    </row>
    <row r="15">
      <c r="A15" t="inlineStr">
        <is>
          <t>Angers</t>
        </is>
      </c>
      <c r="B15" t="n">
        <v>14</v>
      </c>
      <c r="C15" t="n">
        <v>34</v>
      </c>
      <c r="D15" t="n">
        <v>40</v>
      </c>
      <c r="E15" t="n">
        <v>10</v>
      </c>
      <c r="F15" t="n">
        <v>10</v>
      </c>
      <c r="G15" t="n">
        <v>14</v>
      </c>
      <c r="H15" t="n">
        <v>37</v>
      </c>
      <c r="I15" t="n">
        <v>49</v>
      </c>
      <c r="J15" t="n">
        <v>-12</v>
      </c>
      <c r="K15" t="n">
        <v>22</v>
      </c>
      <c r="L15" t="n">
        <v>18</v>
      </c>
      <c r="M15" t="n">
        <v>6</v>
      </c>
      <c r="N15" t="n">
        <v>4</v>
      </c>
      <c r="O15" t="n">
        <v>21</v>
      </c>
      <c r="P15" t="n">
        <v>16</v>
      </c>
      <c r="Q15" t="n">
        <v>6</v>
      </c>
      <c r="R15" t="n">
        <v>45.1</v>
      </c>
      <c r="S15" t="n">
        <v>10.4</v>
      </c>
      <c r="T15" t="n">
        <v>37.8</v>
      </c>
      <c r="U15" t="n">
        <v>49.6</v>
      </c>
      <c r="V15" t="n">
        <v>75</v>
      </c>
      <c r="W15" t="n">
        <v>3</v>
      </c>
      <c r="X15" t="inlineStr">
        <is>
          <t>Dieng</t>
        </is>
      </c>
      <c r="Y15" t="n">
        <v>9</v>
      </c>
      <c r="Z15" t="inlineStr">
        <is>
          <t>Abdelli</t>
        </is>
      </c>
      <c r="AA15" t="n">
        <v>7</v>
      </c>
      <c r="AB15" t="n">
        <v>0.98</v>
      </c>
      <c r="AC15" t="n">
        <v>0.18</v>
      </c>
      <c r="AD15" t="n">
        <v>84</v>
      </c>
      <c r="AE15" t="inlineStr">
        <is>
          <t>Bas de tableau</t>
        </is>
      </c>
    </row>
    <row r="16">
      <c r="A16" t="inlineStr">
        <is>
          <t>Le Havre</t>
        </is>
      </c>
      <c r="B16" t="n">
        <v>15</v>
      </c>
      <c r="C16" t="n">
        <v>34</v>
      </c>
      <c r="D16" t="n">
        <v>38</v>
      </c>
      <c r="E16" t="n">
        <v>10</v>
      </c>
      <c r="F16" t="n">
        <v>8</v>
      </c>
      <c r="G16" t="n">
        <v>16</v>
      </c>
      <c r="H16" t="n">
        <v>35</v>
      </c>
      <c r="I16" t="n">
        <v>52</v>
      </c>
      <c r="J16" t="n">
        <v>-17</v>
      </c>
      <c r="K16" t="n">
        <v>21</v>
      </c>
      <c r="L16" t="n">
        <v>17</v>
      </c>
      <c r="M16" t="n">
        <v>6</v>
      </c>
      <c r="N16" t="n">
        <v>4</v>
      </c>
      <c r="O16" t="n">
        <v>20</v>
      </c>
      <c r="P16" t="n">
        <v>15</v>
      </c>
      <c r="Q16" t="n">
        <v>7</v>
      </c>
      <c r="R16" t="n">
        <v>44.2</v>
      </c>
      <c r="S16" t="n">
        <v>10.1</v>
      </c>
      <c r="T16" t="n">
        <v>35.6</v>
      </c>
      <c r="U16" t="n">
        <v>51.4</v>
      </c>
      <c r="V16" t="n">
        <v>79</v>
      </c>
      <c r="W16" t="n">
        <v>4</v>
      </c>
      <c r="X16" t="inlineStr">
        <is>
          <t>Kuzyaev</t>
        </is>
      </c>
      <c r="Y16" t="n">
        <v>8</v>
      </c>
      <c r="Z16" t="inlineStr">
        <is>
          <t>Casimir</t>
        </is>
      </c>
      <c r="AA16" t="n">
        <v>6</v>
      </c>
      <c r="AB16" t="n">
        <v>0.98</v>
      </c>
      <c r="AC16" t="n">
        <v>0.21</v>
      </c>
      <c r="AD16" t="n">
        <v>91</v>
      </c>
      <c r="AE16" t="inlineStr">
        <is>
          <t>Bas de tableau</t>
        </is>
      </c>
    </row>
    <row r="17">
      <c r="A17" t="inlineStr">
        <is>
          <t>Lorient</t>
        </is>
      </c>
      <c r="B17" t="n">
        <v>16</v>
      </c>
      <c r="C17" t="n">
        <v>34</v>
      </c>
      <c r="D17" t="n">
        <v>36</v>
      </c>
      <c r="E17" t="n">
        <v>9</v>
      </c>
      <c r="F17" t="n">
        <v>9</v>
      </c>
      <c r="G17" t="n">
        <v>16</v>
      </c>
      <c r="H17" t="n">
        <v>40</v>
      </c>
      <c r="I17" t="n">
        <v>57</v>
      </c>
      <c r="J17" t="n">
        <v>-17</v>
      </c>
      <c r="K17" t="n">
        <v>20</v>
      </c>
      <c r="L17" t="n">
        <v>16</v>
      </c>
      <c r="M17" t="n">
        <v>6</v>
      </c>
      <c r="N17" t="n">
        <v>3</v>
      </c>
      <c r="O17" t="n">
        <v>23</v>
      </c>
      <c r="P17" t="n">
        <v>17</v>
      </c>
      <c r="Q17" t="n">
        <v>5</v>
      </c>
      <c r="R17" t="n">
        <v>46</v>
      </c>
      <c r="S17" t="n">
        <v>11</v>
      </c>
      <c r="T17" t="n">
        <v>38.2</v>
      </c>
      <c r="U17" t="n">
        <v>54.1</v>
      </c>
      <c r="V17" t="n">
        <v>82</v>
      </c>
      <c r="W17" t="n">
        <v>4</v>
      </c>
      <c r="X17" t="inlineStr">
        <is>
          <t>Kroupi</t>
        </is>
      </c>
      <c r="Y17" t="n">
        <v>11</v>
      </c>
      <c r="Z17" t="inlineStr">
        <is>
          <t>Ponceau</t>
        </is>
      </c>
      <c r="AA17" t="n">
        <v>6</v>
      </c>
      <c r="AB17" t="n">
        <v>1.05</v>
      </c>
      <c r="AC17" t="n">
        <v>0.15</v>
      </c>
      <c r="AD17" t="n">
        <v>94</v>
      </c>
      <c r="AE17" t="inlineStr">
        <is>
          <t>Bas de tableau</t>
        </is>
      </c>
    </row>
    <row r="18">
      <c r="A18" t="inlineStr">
        <is>
          <t>Metz</t>
        </is>
      </c>
      <c r="B18" t="n">
        <v>17</v>
      </c>
      <c r="C18" t="n">
        <v>34</v>
      </c>
      <c r="D18" t="n">
        <v>31</v>
      </c>
      <c r="E18" t="n">
        <v>8</v>
      </c>
      <c r="F18" t="n">
        <v>7</v>
      </c>
      <c r="G18" t="n">
        <v>19</v>
      </c>
      <c r="H18" t="n">
        <v>34</v>
      </c>
      <c r="I18" t="n">
        <v>60</v>
      </c>
      <c r="J18" t="n">
        <v>-26</v>
      </c>
      <c r="K18" t="n">
        <v>18</v>
      </c>
      <c r="L18" t="n">
        <v>13</v>
      </c>
      <c r="M18" t="n">
        <v>5</v>
      </c>
      <c r="N18" t="n">
        <v>3</v>
      </c>
      <c r="O18" t="n">
        <v>19</v>
      </c>
      <c r="P18" t="n">
        <v>15</v>
      </c>
      <c r="Q18" t="n">
        <v>4</v>
      </c>
      <c r="R18" t="n">
        <v>43.7</v>
      </c>
      <c r="S18" t="n">
        <v>9.800000000000001</v>
      </c>
      <c r="T18" t="n">
        <v>33.9</v>
      </c>
      <c r="U18" t="n">
        <v>58.8</v>
      </c>
      <c r="V18" t="n">
        <v>80</v>
      </c>
      <c r="W18" t="n">
        <v>5</v>
      </c>
      <c r="X18" t="inlineStr">
        <is>
          <t>Mikautadze</t>
        </is>
      </c>
      <c r="Y18" t="n">
        <v>12</v>
      </c>
      <c r="Z18" t="inlineStr">
        <is>
          <t>Van den Kerkhof</t>
        </is>
      </c>
      <c r="AA18" t="n">
        <v>5</v>
      </c>
      <c r="AB18" t="n">
        <v>1</v>
      </c>
      <c r="AC18" t="n">
        <v>0.12</v>
      </c>
      <c r="AD18" t="n">
        <v>95</v>
      </c>
      <c r="AE18" t="inlineStr">
        <is>
          <t>Bas de tableau</t>
        </is>
      </c>
    </row>
    <row r="19">
      <c r="A19" t="inlineStr">
        <is>
          <t>Paris FC</t>
        </is>
      </c>
      <c r="B19" t="n">
        <v>18</v>
      </c>
      <c r="C19" t="n">
        <v>34</v>
      </c>
      <c r="D19" t="n">
        <v>28</v>
      </c>
      <c r="E19" t="n">
        <v>7</v>
      </c>
      <c r="F19" t="n">
        <v>7</v>
      </c>
      <c r="G19" t="n">
        <v>20</v>
      </c>
      <c r="H19" t="n">
        <v>31</v>
      </c>
      <c r="I19" t="n">
        <v>63</v>
      </c>
      <c r="J19" t="n">
        <v>-32</v>
      </c>
      <c r="K19" t="n">
        <v>16</v>
      </c>
      <c r="L19" t="n">
        <v>12</v>
      </c>
      <c r="M19" t="n">
        <v>5</v>
      </c>
      <c r="N19" t="n">
        <v>2</v>
      </c>
      <c r="O19" t="n">
        <v>18</v>
      </c>
      <c r="P19" t="n">
        <v>13</v>
      </c>
      <c r="Q19" t="n">
        <v>3</v>
      </c>
      <c r="R19" t="n">
        <v>42.8</v>
      </c>
      <c r="S19" t="n">
        <v>9.4</v>
      </c>
      <c r="T19" t="n">
        <v>31.5</v>
      </c>
      <c r="U19" t="n">
        <v>61.7</v>
      </c>
      <c r="V19" t="n">
        <v>85</v>
      </c>
      <c r="W19" t="n">
        <v>5</v>
      </c>
      <c r="X19" t="inlineStr">
        <is>
          <t>Hamel</t>
        </is>
      </c>
      <c r="Y19" t="n">
        <v>10</v>
      </c>
      <c r="Z19" t="inlineStr">
        <is>
          <t>Kebbal</t>
        </is>
      </c>
      <c r="AA19" t="n">
        <v>6</v>
      </c>
      <c r="AB19" t="n">
        <v>0.98</v>
      </c>
      <c r="AC19" t="n">
        <v>0.09</v>
      </c>
      <c r="AD19" t="n">
        <v>100</v>
      </c>
      <c r="AE19" t="inlineStr">
        <is>
          <t>Bas de tableau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Analyse avancée - Ligue 1</t>
        </is>
      </c>
    </row>
    <row r="2">
      <c r="A2" s="2" t="inlineStr">
        <is>
          <t>Analyse complémentaire : efficacité offensive, défense, discipline et domicile/extérieur</t>
        </is>
      </c>
    </row>
    <row r="5">
      <c r="A5" s="7" t="inlineStr">
        <is>
          <t>equipe</t>
        </is>
      </c>
      <c r="B5" s="7" t="inlineStr">
        <is>
          <t>efficacite_offensive</t>
        </is>
      </c>
      <c r="E5" s="7" t="inlineStr">
        <is>
          <t>equipe</t>
        </is>
      </c>
      <c r="F5" s="7" t="inlineStr">
        <is>
          <t>buts_encaisses</t>
        </is>
      </c>
    </row>
    <row r="6">
      <c r="A6" t="inlineStr">
        <is>
          <t>Monaco</t>
        </is>
      </c>
      <c r="B6" t="n">
        <v>1.1</v>
      </c>
      <c r="E6" t="inlineStr">
        <is>
          <t>PSG</t>
        </is>
      </c>
      <c r="F6" t="n">
        <v>28</v>
      </c>
    </row>
    <row r="7">
      <c r="A7" t="inlineStr">
        <is>
          <t>PSG</t>
        </is>
      </c>
      <c r="B7" t="n">
        <v>1.08</v>
      </c>
      <c r="E7" t="inlineStr">
        <is>
          <t>Lille</t>
        </is>
      </c>
      <c r="F7" t="n">
        <v>33</v>
      </c>
    </row>
    <row r="8">
      <c r="A8" t="inlineStr">
        <is>
          <t>Marseille</t>
        </is>
      </c>
      <c r="B8" t="n">
        <v>1.07</v>
      </c>
      <c r="E8" t="inlineStr">
        <is>
          <t>Nice</t>
        </is>
      </c>
      <c r="F8" t="n">
        <v>34</v>
      </c>
    </row>
    <row r="9">
      <c r="A9" t="inlineStr">
        <is>
          <t>Lyon</t>
        </is>
      </c>
      <c r="B9" t="n">
        <v>1.06</v>
      </c>
      <c r="E9" t="inlineStr">
        <is>
          <t>Marseille</t>
        </is>
      </c>
      <c r="F9" t="n">
        <v>35</v>
      </c>
    </row>
    <row r="10">
      <c r="A10" t="inlineStr">
        <is>
          <t>Lorient</t>
        </is>
      </c>
      <c r="B10" t="n">
        <v>1.05</v>
      </c>
      <c r="E10" t="inlineStr">
        <is>
          <t>Lens</t>
        </is>
      </c>
      <c r="F10" t="n">
        <v>38</v>
      </c>
    </row>
    <row r="11">
      <c r="A11" t="inlineStr">
        <is>
          <t>Lille</t>
        </is>
      </c>
      <c r="B11" t="n">
        <v>1.04</v>
      </c>
      <c r="E11" t="inlineStr">
        <is>
          <t>Monaco</t>
        </is>
      </c>
      <c r="F11" t="n">
        <v>41</v>
      </c>
    </row>
    <row r="12">
      <c r="A12" t="inlineStr">
        <is>
          <t>Rennes</t>
        </is>
      </c>
      <c r="B12" t="n">
        <v>1.04</v>
      </c>
      <c r="E12" t="inlineStr">
        <is>
          <t>Strasbourg</t>
        </is>
      </c>
      <c r="F12" t="n">
        <v>42</v>
      </c>
    </row>
    <row r="13">
      <c r="A13" t="inlineStr">
        <is>
          <t>Nice</t>
        </is>
      </c>
      <c r="B13" t="n">
        <v>1.03</v>
      </c>
      <c r="E13" t="inlineStr">
        <is>
          <t>Brest</t>
        </is>
      </c>
      <c r="F13" t="n">
        <v>43</v>
      </c>
    </row>
    <row r="14">
      <c r="A14" t="inlineStr">
        <is>
          <t>Toulouse</t>
        </is>
      </c>
      <c r="B14" t="n">
        <v>1.03</v>
      </c>
      <c r="E14" t="inlineStr">
        <is>
          <t>Lyon</t>
        </is>
      </c>
      <c r="F14" t="n">
        <v>46</v>
      </c>
    </row>
    <row r="15">
      <c r="A15" t="inlineStr">
        <is>
          <t>Brest</t>
        </is>
      </c>
      <c r="B15" t="n">
        <v>1.03</v>
      </c>
      <c r="E15" t="inlineStr">
        <is>
          <t>Auxerre</t>
        </is>
      </c>
      <c r="F15" t="n">
        <v>47</v>
      </c>
    </row>
    <row r="16">
      <c r="A16" t="inlineStr">
        <is>
          <t>Auxerre</t>
        </is>
      </c>
      <c r="B16" t="n">
        <v>1.01</v>
      </c>
      <c r="E16" t="inlineStr">
        <is>
          <t>Toulouse</t>
        </is>
      </c>
      <c r="F16" t="n">
        <v>48</v>
      </c>
    </row>
    <row r="17">
      <c r="A17" t="inlineStr">
        <is>
          <t>Strasbourg</t>
        </is>
      </c>
      <c r="B17" t="n">
        <v>1</v>
      </c>
      <c r="E17" t="inlineStr">
        <is>
          <t>Angers</t>
        </is>
      </c>
      <c r="F17" t="n">
        <v>49</v>
      </c>
    </row>
    <row r="18">
      <c r="A18" t="inlineStr">
        <is>
          <t>Metz</t>
        </is>
      </c>
      <c r="B18" t="n">
        <v>1</v>
      </c>
      <c r="E18" t="inlineStr">
        <is>
          <t>Nantes</t>
        </is>
      </c>
      <c r="F18" t="n">
        <v>50</v>
      </c>
    </row>
    <row r="19">
      <c r="A19" t="inlineStr">
        <is>
          <t>Nantes</t>
        </is>
      </c>
      <c r="B19" t="n">
        <v>0.99</v>
      </c>
      <c r="E19" t="inlineStr">
        <is>
          <t>Rennes</t>
        </is>
      </c>
      <c r="F19" t="n">
        <v>51</v>
      </c>
    </row>
    <row r="20">
      <c r="A20" t="inlineStr">
        <is>
          <t>Lens</t>
        </is>
      </c>
      <c r="B20" t="n">
        <v>0.98</v>
      </c>
      <c r="E20" t="inlineStr">
        <is>
          <t>Le Havre</t>
        </is>
      </c>
      <c r="F20" t="n">
        <v>52</v>
      </c>
    </row>
    <row r="21">
      <c r="A21" t="inlineStr">
        <is>
          <t>Angers</t>
        </is>
      </c>
      <c r="B21" t="n">
        <v>0.98</v>
      </c>
      <c r="E21" t="inlineStr">
        <is>
          <t>Lorient</t>
        </is>
      </c>
      <c r="F21" t="n">
        <v>57</v>
      </c>
    </row>
    <row r="22">
      <c r="A22" t="inlineStr">
        <is>
          <t>Le Havre</t>
        </is>
      </c>
      <c r="B22" t="n">
        <v>0.98</v>
      </c>
      <c r="E22" t="inlineStr">
        <is>
          <t>Metz</t>
        </is>
      </c>
      <c r="F22" t="n">
        <v>60</v>
      </c>
    </row>
    <row r="23">
      <c r="A23" t="inlineStr">
        <is>
          <t>Paris FC</t>
        </is>
      </c>
      <c r="B23" t="n">
        <v>0.98</v>
      </c>
      <c r="E23" t="inlineStr">
        <is>
          <t>Paris FC</t>
        </is>
      </c>
      <c r="F23" t="n">
        <v>63</v>
      </c>
    </row>
    <row r="25">
      <c r="A25" s="7" t="inlineStr">
        <is>
          <t>equipe</t>
        </is>
      </c>
      <c r="B25" s="7" t="inlineStr">
        <is>
          <t>indice_discipline</t>
        </is>
      </c>
      <c r="E25" s="7" t="inlineStr">
        <is>
          <t>equipe</t>
        </is>
      </c>
      <c r="F25" s="7" t="inlineStr">
        <is>
          <t>points_domicile</t>
        </is>
      </c>
      <c r="G25" s="7" t="inlineStr">
        <is>
          <t>points_exterieur</t>
        </is>
      </c>
    </row>
    <row r="26">
      <c r="A26" t="inlineStr">
        <is>
          <t>Paris FC</t>
        </is>
      </c>
      <c r="B26" t="n">
        <v>100</v>
      </c>
      <c r="E26" t="inlineStr">
        <is>
          <t>PSG</t>
        </is>
      </c>
      <c r="F26" t="n">
        <v>43</v>
      </c>
      <c r="G26" t="n">
        <v>39</v>
      </c>
    </row>
    <row r="27">
      <c r="A27" t="inlineStr">
        <is>
          <t>Metz</t>
        </is>
      </c>
      <c r="B27" t="n">
        <v>95</v>
      </c>
      <c r="E27" t="inlineStr">
        <is>
          <t>Lille</t>
        </is>
      </c>
      <c r="F27" t="n">
        <v>35</v>
      </c>
      <c r="G27" t="n">
        <v>28</v>
      </c>
    </row>
    <row r="28">
      <c r="A28" t="inlineStr">
        <is>
          <t>Lorient</t>
        </is>
      </c>
      <c r="B28" t="n">
        <v>94</v>
      </c>
      <c r="E28" t="inlineStr">
        <is>
          <t>Nice</t>
        </is>
      </c>
      <c r="F28" t="n">
        <v>34</v>
      </c>
      <c r="G28" t="n">
        <v>26</v>
      </c>
    </row>
    <row r="29">
      <c r="A29" t="inlineStr">
        <is>
          <t>Le Havre</t>
        </is>
      </c>
      <c r="B29" t="n">
        <v>91</v>
      </c>
      <c r="E29" t="inlineStr">
        <is>
          <t>Marseille</t>
        </is>
      </c>
      <c r="F29" t="n">
        <v>32</v>
      </c>
      <c r="G29" t="n">
        <v>39</v>
      </c>
    </row>
    <row r="30">
      <c r="A30" t="inlineStr">
        <is>
          <t>Auxerre</t>
        </is>
      </c>
      <c r="B30" t="n">
        <v>85</v>
      </c>
      <c r="E30" t="inlineStr">
        <is>
          <t>Monaco</t>
        </is>
      </c>
      <c r="F30" t="n">
        <v>31</v>
      </c>
      <c r="G30" t="n">
        <v>37</v>
      </c>
    </row>
    <row r="31">
      <c r="A31" t="inlineStr">
        <is>
          <t>Nantes</t>
        </is>
      </c>
      <c r="B31" t="n">
        <v>85</v>
      </c>
      <c r="E31" t="inlineStr">
        <is>
          <t>Lens</t>
        </is>
      </c>
      <c r="F31" t="n">
        <v>31</v>
      </c>
      <c r="G31" t="n">
        <v>25</v>
      </c>
    </row>
    <row r="32">
      <c r="A32" t="inlineStr">
        <is>
          <t>Angers</t>
        </is>
      </c>
      <c r="B32" t="n">
        <v>84</v>
      </c>
      <c r="E32" t="inlineStr">
        <is>
          <t>Strasbourg</t>
        </is>
      </c>
      <c r="F32" t="n">
        <v>30</v>
      </c>
      <c r="G32" t="n">
        <v>24</v>
      </c>
    </row>
    <row r="33">
      <c r="A33" t="inlineStr">
        <is>
          <t>Lyon</t>
        </is>
      </c>
      <c r="B33" t="n">
        <v>82</v>
      </c>
      <c r="E33" t="inlineStr">
        <is>
          <t>Rennes</t>
        </is>
      </c>
      <c r="F33" t="n">
        <v>28</v>
      </c>
      <c r="G33" t="n">
        <v>21</v>
      </c>
    </row>
    <row r="34">
      <c r="A34" t="inlineStr">
        <is>
          <t>Rennes</t>
        </is>
      </c>
      <c r="B34" t="n">
        <v>80</v>
      </c>
      <c r="E34" t="inlineStr">
        <is>
          <t>Lyon</t>
        </is>
      </c>
      <c r="F34" t="n">
        <v>26</v>
      </c>
      <c r="G34" t="n">
        <v>32</v>
      </c>
    </row>
    <row r="35">
      <c r="A35" t="inlineStr">
        <is>
          <t>Strasbourg</t>
        </is>
      </c>
      <c r="B35" t="n">
        <v>78</v>
      </c>
      <c r="E35" t="inlineStr">
        <is>
          <t>Toulouse</t>
        </is>
      </c>
      <c r="F35" t="n">
        <v>26</v>
      </c>
      <c r="G35" t="n">
        <v>21</v>
      </c>
    </row>
    <row r="36">
      <c r="A36" t="inlineStr">
        <is>
          <t>Lens</t>
        </is>
      </c>
      <c r="B36" t="n">
        <v>77</v>
      </c>
      <c r="E36" t="inlineStr">
        <is>
          <t>Auxerre</t>
        </is>
      </c>
      <c r="F36" t="n">
        <v>25</v>
      </c>
      <c r="G36" t="n">
        <v>20</v>
      </c>
    </row>
    <row r="37">
      <c r="A37" t="inlineStr">
        <is>
          <t>Marseille</t>
        </is>
      </c>
      <c r="B37" t="n">
        <v>73</v>
      </c>
      <c r="E37" t="inlineStr">
        <is>
          <t>Brest</t>
        </is>
      </c>
      <c r="F37" t="n">
        <v>22</v>
      </c>
      <c r="G37" t="n">
        <v>29</v>
      </c>
    </row>
    <row r="38">
      <c r="A38" t="inlineStr">
        <is>
          <t>Toulouse</t>
        </is>
      </c>
      <c r="B38" t="n">
        <v>73</v>
      </c>
      <c r="E38" t="inlineStr">
        <is>
          <t>Angers</t>
        </is>
      </c>
      <c r="F38" t="n">
        <v>22</v>
      </c>
      <c r="G38" t="n">
        <v>18</v>
      </c>
    </row>
    <row r="39">
      <c r="A39" t="inlineStr">
        <is>
          <t>Nice</t>
        </is>
      </c>
      <c r="B39" t="n">
        <v>72</v>
      </c>
      <c r="E39" t="inlineStr">
        <is>
          <t>Le Havre</t>
        </is>
      </c>
      <c r="F39" t="n">
        <v>21</v>
      </c>
      <c r="G39" t="n">
        <v>17</v>
      </c>
    </row>
    <row r="40">
      <c r="A40" t="inlineStr">
        <is>
          <t>Brest</t>
        </is>
      </c>
      <c r="B40" t="n">
        <v>71</v>
      </c>
      <c r="E40" t="inlineStr">
        <is>
          <t>Lorient</t>
        </is>
      </c>
      <c r="F40" t="n">
        <v>20</v>
      </c>
      <c r="G40" t="n">
        <v>16</v>
      </c>
    </row>
    <row r="41">
      <c r="A41" t="inlineStr">
        <is>
          <t>Monaco</t>
        </is>
      </c>
      <c r="B41" t="n">
        <v>67</v>
      </c>
      <c r="E41" t="inlineStr">
        <is>
          <t>Nantes</t>
        </is>
      </c>
      <c r="F41" t="n">
        <v>18</v>
      </c>
      <c r="G41" t="n">
        <v>24</v>
      </c>
    </row>
    <row r="42">
      <c r="A42" t="inlineStr">
        <is>
          <t>PSG</t>
        </is>
      </c>
      <c r="B42" t="n">
        <v>64</v>
      </c>
      <c r="E42" t="inlineStr">
        <is>
          <t>Metz</t>
        </is>
      </c>
      <c r="F42" t="n">
        <v>18</v>
      </c>
      <c r="G42" t="n">
        <v>13</v>
      </c>
    </row>
    <row r="43">
      <c r="A43" t="inlineStr">
        <is>
          <t>Lille</t>
        </is>
      </c>
      <c r="B43" t="n">
        <v>60</v>
      </c>
      <c r="E43" t="inlineStr">
        <is>
          <t>Paris FC</t>
        </is>
      </c>
      <c r="F43" t="n">
        <v>16</v>
      </c>
      <c r="G43" t="n">
        <v>12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2026-06-13T20:25:09Z</dcterms:created>
  <dcterms:modified xsi:type="dcterms:W3CDTF">2026-06-13T20:25:09Z</dcterms:modified>
</cp:coreProperties>
</file>